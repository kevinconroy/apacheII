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0" yWindow="0" windowWidth="25600" windowHeight="19020" tabRatio="500"/>
  </bookViews>
  <sheets>
    <sheet name="Sheet1" sheetId="1" r:id="rId1"/>
  </sheets>
  <externalReferences>
    <externalReference r:id="rId2"/>
  </externalReferences>
  <definedNames>
    <definedName name="Temp">'[1]APACHE II'!$F$208:$F$215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  <c r="W4" i="1"/>
  <c r="C4" i="1"/>
  <c r="B3" i="1"/>
  <c r="W3" i="1"/>
  <c r="C3" i="1"/>
  <c r="B2" i="1"/>
  <c r="W2" i="1"/>
  <c r="C2" i="1"/>
</calcChain>
</file>

<file path=xl/sharedStrings.xml><?xml version="1.0" encoding="utf-8"?>
<sst xmlns="http://schemas.openxmlformats.org/spreadsheetml/2006/main" count="25" uniqueCount="24">
  <si>
    <t>Patient ID</t>
  </si>
  <si>
    <t>APACHE II</t>
  </si>
  <si>
    <t>Age</t>
  </si>
  <si>
    <t>MAP</t>
  </si>
  <si>
    <t>HR</t>
  </si>
  <si>
    <t>RR</t>
  </si>
  <si>
    <t>Aa (FiO2&gt;50)</t>
  </si>
  <si>
    <t>PaO2 (FiO2 &lt; 50)</t>
  </si>
  <si>
    <t xml:space="preserve">pH </t>
  </si>
  <si>
    <t>HCO3-</t>
  </si>
  <si>
    <t>Na</t>
  </si>
  <si>
    <t>K</t>
  </si>
  <si>
    <t>ARF? (Y/N)</t>
  </si>
  <si>
    <t>Cr</t>
  </si>
  <si>
    <t>Hct</t>
  </si>
  <si>
    <t>WBC</t>
  </si>
  <si>
    <t>GCS</t>
  </si>
  <si>
    <t>Chronic organ insufficiency or immune compromise</t>
  </si>
  <si>
    <t>Adjusted Death Rate</t>
  </si>
  <si>
    <t>Temp (ºC)</t>
  </si>
  <si>
    <t>Predicted Death Rate</t>
  </si>
  <si>
    <t>Adjustment (see http://www.sfar.org/scores2/apache22.html)</t>
  </si>
  <si>
    <t>N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</si>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</sst>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Arial"/>
    </font>
    <font>
      <sz val="12"/>
      <name val="Arial"/>
    </font>
    <font>
      <b/>
      <sz val="12"/>
      <color theme="1"/>
      <name val="Arial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10" fontId="0" fillId="0" borderId="0" xfId="1" applyNumberFormat="1" applyFont="1"/>
    <xf numFmtId="0" fontId="0" fillId="2" borderId="0" xfId="0" applyFill="1"/>
    <xf numFmtId="0" fontId="4" fillId="0" borderId="0" xfId="0" applyFont="1"/>
    <xf numFmtId="164" fontId="4" fillId="0" borderId="0" xfId="1" applyNumberFormat="1" applyFont="1"/>
    <xf numFmtId="0" fontId="4" fillId="0" borderId="0" xfId="0" applyFont="1" applyFill="1"/>
    <xf numFmtId="0" fontId="5" fillId="0" borderId="0" xfId="0" applyFont="1" applyFill="1" applyAlignment="1">
      <alignment horizontal="center"/>
    </xf>
    <xf numFmtId="0" fontId="5" fillId="0" borderId="0" xfId="0" applyFont="1" applyFill="1"/>
    <xf numFmtId="0" fontId="4" fillId="2" borderId="1" xfId="0" applyFont="1" applyFill="1" applyBorder="1" applyAlignment="1">
      <alignment wrapText="1"/>
    </xf>
    <xf numFmtId="0" fontId="0" fillId="2" borderId="1" xfId="0" applyFill="1" applyBorder="1" applyAlignment="1">
      <alignment wrapText="1"/>
    </xf>
    <xf numFmtId="0" fontId="6" fillId="0" borderId="0" xfId="0" applyFont="1" applyAlignment="1">
      <alignment horizontal="right"/>
    </xf>
    <xf numFmtId="0" fontId="6" fillId="2" borderId="1" xfId="0" applyFont="1" applyFill="1" applyBorder="1" applyAlignment="1">
      <alignment horizontal="right" wrapText="1"/>
    </xf>
  </cellXfs>
  <cellStyles count="6">
    <cellStyle name="Followed Hyperlink" xfId="3" builtinId="9" hidden="1"/>
    <cellStyle name="Followed Hyperlink" xfId="5" builtinId="9" hidden="1"/>
    <cellStyle name="Hyperlink" xfId="2" builtinId="8" hidden="1"/>
    <cellStyle name="Hyperlink" xfId="4" builtinId="8" hidden="1"/>
    <cellStyle name="Normal" xfId="0" builtinId="0"/>
    <cellStyle name="Percent" xfId="1" builtinId="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conroy/Downloads/excell%20with%20apache%20only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DRO List"/>
      <sheetName val="MDRO list duplicates removed"/>
      <sheetName val="Streamlined List"/>
      <sheetName val="APACHE II"/>
      <sheetName val="Controls"/>
    </sheetNames>
    <sheetDataSet>
      <sheetData sheetId="0"/>
      <sheetData sheetId="1"/>
      <sheetData sheetId="2"/>
      <sheetData sheetId="3">
        <row r="208">
          <cell r="F208" t="str">
            <v>&gt;=41</v>
          </cell>
        </row>
        <row r="209">
          <cell r="F209" t="str">
            <v>39-40.9</v>
          </cell>
        </row>
        <row r="210">
          <cell r="F210" t="str">
            <v>38.5-38.9</v>
          </cell>
        </row>
        <row r="211">
          <cell r="F211" t="str">
            <v>36.0-38.4</v>
          </cell>
        </row>
        <row r="212">
          <cell r="F212" t="str">
            <v>34-35.9</v>
          </cell>
        </row>
        <row r="213">
          <cell r="F213" t="str">
            <v>32-33.9</v>
          </cell>
        </row>
        <row r="214">
          <cell r="F214" t="str">
            <v>30-31.9</v>
          </cell>
        </row>
        <row r="215">
          <cell r="F215" t="str">
            <v>&lt;=29.9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W4"/>
  <sheetViews>
    <sheetView tabSelected="1" workbookViewId="0">
      <selection activeCell="C2" sqref="C2"/>
    </sheetView>
  </sheetViews>
  <sheetFormatPr baseColWidth="10" defaultRowHeight="15" x14ac:dyDescent="0"/>
  <cols>
    <col min="1" max="1" width="10" bestFit="1" customWidth="1"/>
    <col min="2" max="2" width="13.1640625" customWidth="1"/>
    <col min="3" max="3" width="16" customWidth="1"/>
    <col min="4" max="4" width="9.5" customWidth="1"/>
    <col min="5" max="5" width="10.5" customWidth="1"/>
    <col min="6" max="8" width="9.5" customWidth="1"/>
    <col min="9" max="9" width="10.83203125" customWidth="1"/>
    <col min="10" max="10" width="11.5" customWidth="1"/>
    <col min="11" max="19" width="9.5" customWidth="1"/>
    <col min="20" max="20" width="27.6640625" customWidth="1"/>
    <col min="22" max="22" width="45.5" customWidth="1"/>
  </cols>
  <sheetData>
    <row r="1" spans="1:23" s="2" customFormat="1" ht="31" thickBot="1">
      <c r="A1" s="8" t="s">
        <v>0</v>
      </c>
      <c r="B1" s="11" t="s">
        <v>1</v>
      </c>
      <c r="C1" s="8" t="s">
        <v>20</v>
      </c>
      <c r="D1" s="8" t="s">
        <v>2</v>
      </c>
      <c r="E1" s="8" t="s">
        <v>19</v>
      </c>
      <c r="F1" s="8" t="s">
        <v>3</v>
      </c>
      <c r="G1" s="8" t="s">
        <v>4</v>
      </c>
      <c r="H1" s="8" t="s">
        <v>5</v>
      </c>
      <c r="I1" s="8" t="s">
        <v>6</v>
      </c>
      <c r="J1" s="8" t="s">
        <v>7</v>
      </c>
      <c r="K1" s="8" t="s">
        <v>8</v>
      </c>
      <c r="L1" s="8" t="s">
        <v>9</v>
      </c>
      <c r="M1" s="8" t="s">
        <v>10</v>
      </c>
      <c r="N1" s="8" t="s">
        <v>11</v>
      </c>
      <c r="O1" s="8" t="s">
        <v>12</v>
      </c>
      <c r="P1" s="8" t="s">
        <v>13</v>
      </c>
      <c r="Q1" s="8" t="s">
        <v>14</v>
      </c>
      <c r="R1" s="8" t="s">
        <v>15</v>
      </c>
      <c r="S1" s="8" t="s">
        <v>16</v>
      </c>
      <c r="T1" s="8" t="s">
        <v>17</v>
      </c>
      <c r="U1" s="9"/>
      <c r="V1" s="9" t="s">
        <v>21</v>
      </c>
      <c r="W1" s="9" t="s">
        <v>18</v>
      </c>
    </row>
    <row r="2" spans="1:23">
      <c r="A2" s="3">
        <v>1</v>
      </c>
      <c r="B2" s="10" t="str">
        <f>APACHEII(D2,E2,F2,G2,H2,I2,J2,K2,L2,M2,N2,O2,P2,Q2,R2,S2,T2)</f>
        <v>0</v>
      </c>
      <c r="C2" s="4">
        <f>APACHEII_DEATHRATE(B2)</f>
        <v>2.8832380515568291E-2</v>
      </c>
      <c r="D2" s="5">
        <v>25</v>
      </c>
      <c r="E2" s="5">
        <v>36.799999999999997</v>
      </c>
      <c r="F2" s="5">
        <v>80</v>
      </c>
      <c r="G2" s="5">
        <v>98</v>
      </c>
      <c r="H2" s="5">
        <v>18</v>
      </c>
      <c r="I2" s="5">
        <v>80</v>
      </c>
      <c r="J2" s="5"/>
      <c r="K2" s="5">
        <v>7.4</v>
      </c>
      <c r="L2" s="5">
        <v>29</v>
      </c>
      <c r="M2" s="5">
        <v>135</v>
      </c>
      <c r="N2" s="5">
        <v>3.8</v>
      </c>
      <c r="O2" s="6" t="s">
        <v>22</v>
      </c>
      <c r="P2" s="5">
        <v>0.7</v>
      </c>
      <c r="Q2" s="5">
        <v>31.2</v>
      </c>
      <c r="R2" s="5">
        <v>5.3</v>
      </c>
      <c r="S2" s="7">
        <v>15</v>
      </c>
      <c r="T2" s="5">
        <v>0</v>
      </c>
      <c r="V2">
        <v>0</v>
      </c>
      <c r="W2" s="1">
        <f>APACHEII_DEATHRATE_ADJUSTED(B2,V2)</f>
        <v>2.8832380515568291E-2</v>
      </c>
    </row>
    <row r="3" spans="1:23">
      <c r="A3" s="3">
        <v>2</v>
      </c>
      <c r="B3" s="10" t="str">
        <f>APACHEII(D3,E3,F3,G3,H3,I3,J3,K3,L3,M3,N3,O3,P3,Q3,R3,S3,T3)</f>
        <v>24</v>
      </c>
      <c r="C3" s="4">
        <f>APACHEII_DEATHRATE(B3)</f>
        <v>0.49675004577005971</v>
      </c>
      <c r="D3" s="5">
        <v>54</v>
      </c>
      <c r="E3" s="5">
        <v>38.5</v>
      </c>
      <c r="F3" s="5">
        <v>111</v>
      </c>
      <c r="G3" s="5">
        <v>143</v>
      </c>
      <c r="H3" s="5">
        <v>35</v>
      </c>
      <c r="I3" s="5">
        <v>340</v>
      </c>
      <c r="J3" s="5"/>
      <c r="K3" s="5">
        <v>7.54</v>
      </c>
      <c r="L3" s="5">
        <v>32</v>
      </c>
      <c r="M3" s="5">
        <v>121</v>
      </c>
      <c r="N3" s="5">
        <v>6.2</v>
      </c>
      <c r="O3" s="6" t="s">
        <v>22</v>
      </c>
      <c r="P3" s="5">
        <v>1.2</v>
      </c>
      <c r="Q3" s="5">
        <v>18.899999999999999</v>
      </c>
      <c r="R3" s="5">
        <v>14.9</v>
      </c>
      <c r="S3" s="7">
        <v>15</v>
      </c>
      <c r="T3" s="5">
        <v>0</v>
      </c>
      <c r="V3">
        <v>0</v>
      </c>
      <c r="W3" s="1">
        <f>APACHEII_DEATHRATE_ADJUSTED(B3,V3)</f>
        <v>0.49675004577005971</v>
      </c>
    </row>
    <row r="4" spans="1:23">
      <c r="A4" s="3">
        <v>3</v>
      </c>
      <c r="B4" s="10" t="str">
        <f>APACHEII(D4,E4,F4,G4,H4,I4,J4,K4,L4,M4,N4,O4,P4,Q4,R4,S4,T4)</f>
        <v>48</v>
      </c>
      <c r="C4" s="4">
        <f>APACHEII_DEATHRATE(B4)</f>
        <v>0.97043060437032047</v>
      </c>
      <c r="D4" s="5">
        <v>76</v>
      </c>
      <c r="E4" s="5">
        <v>39.200000000000003</v>
      </c>
      <c r="F4" s="5">
        <v>54</v>
      </c>
      <c r="G4" s="5">
        <v>68</v>
      </c>
      <c r="H4" s="5">
        <v>11</v>
      </c>
      <c r="I4" s="5"/>
      <c r="J4" s="5">
        <v>55</v>
      </c>
      <c r="K4" s="5">
        <v>7.23</v>
      </c>
      <c r="L4" s="5">
        <v>43</v>
      </c>
      <c r="M4" s="5">
        <v>165</v>
      </c>
      <c r="N4" s="5">
        <v>2.1</v>
      </c>
      <c r="O4" s="6" t="s">
        <v>23</v>
      </c>
      <c r="P4" s="5">
        <v>2.2000000000000002</v>
      </c>
      <c r="Q4" s="5">
        <v>44.3</v>
      </c>
      <c r="R4" s="5">
        <v>56.6</v>
      </c>
      <c r="S4" s="7">
        <v>12</v>
      </c>
      <c r="T4" s="5">
        <v>5</v>
      </c>
      <c r="V4">
        <v>0.113</v>
      </c>
      <c r="W4" s="1">
        <f>APACHEII_DEATHRATE_ADJUSTED(B4,V4)</f>
        <v>0.97350636893086795</v>
      </c>
    </row>
  </sheetData>
  <dataValidations count="1">
    <dataValidation type="list" allowBlank="1" sqref="E2:E4">
      <formula1>Temp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GlobalGiving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Conroy</dc:creator>
  <cp:lastModifiedBy>Kevin Conroy</cp:lastModifiedBy>
  <dcterms:created xsi:type="dcterms:W3CDTF">2015-03-15T18:32:06Z</dcterms:created>
  <dcterms:modified xsi:type="dcterms:W3CDTF">2015-03-15T18:47:09Z</dcterms:modified>
</cp:coreProperties>
</file>